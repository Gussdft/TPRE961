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tataires" sheetId="1" state="visible" r:id="rId3"/>
    <sheet name="Synthè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<sst xmlns="http://schemas.openxmlformats.org/spreadsheetml/2006/main" count="86" uniqueCount="68">
  <si>
    <t xml:space="preserve">COGIP / Tesker — Tableau de bord de pilotage des prestataires</t>
  </si>
  <si>
    <t xml:space="preserve">MSPR TPRE961 — Bloc 2 — Infrastructure Kubernetes (PoC Odoo). Données illustratives à adapter.</t>
  </si>
  <si>
    <t xml:space="preserve">Prestataire</t>
  </si>
  <si>
    <t xml:space="preserve">Catégorie</t>
  </si>
  <si>
    <t xml:space="preserve">Nature de la prestation</t>
  </si>
  <si>
    <t xml:space="preserve">Contact</t>
  </si>
  <si>
    <t xml:space="preserve">Criticité</t>
  </si>
  <si>
    <t xml:space="preserve">SLA cible (dispo)</t>
  </si>
  <si>
    <t xml:space="preserve">Dispo réelle</t>
  </si>
  <si>
    <t xml:space="preserve">Coût mensuel (€)</t>
  </si>
  <si>
    <t xml:space="preserve">Coût annuel (€)</t>
  </si>
  <si>
    <t xml:space="preserve">Taux pénalité</t>
  </si>
  <si>
    <t xml:space="preserve">Pénalité due (€)</t>
  </si>
  <si>
    <t xml:space="preserve">Statut SLA</t>
  </si>
  <si>
    <t xml:space="preserve">Début contrat</t>
  </si>
  <si>
    <t xml:space="preserve">Fin contrat</t>
  </si>
  <si>
    <t xml:space="preserve">Fréquence de suivi</t>
  </si>
  <si>
    <t xml:space="preserve">Scaleway</t>
  </si>
  <si>
    <t xml:space="preserve">Hébergement cloud</t>
  </si>
  <si>
    <t xml:space="preserve">Cluster Kubernetes managé (Kapsule) — production</t>
  </si>
  <si>
    <t xml:space="preserve">support@scaleway.com</t>
  </si>
  <si>
    <t xml:space="preserve">Critique</t>
  </si>
  <si>
    <t xml:space="preserve">2026-01-01</t>
  </si>
  <si>
    <t xml:space="preserve">2026-12-31</t>
  </si>
  <si>
    <t xml:space="preserve">Hebdomadaire</t>
  </si>
  <si>
    <t xml:space="preserve">OVHcloud</t>
  </si>
  <si>
    <t xml:space="preserve">Hébergement / Backup</t>
  </si>
  <si>
    <t xml:space="preserve">VMs de secours + sauvegardes PRA hors-site</t>
  </si>
  <si>
    <t xml:space="preserve">support@ovhcloud.com</t>
  </si>
  <si>
    <t xml:space="preserve">Cloudflare</t>
  </si>
  <si>
    <t xml:space="preserve">Réseau / Sécurité</t>
  </si>
  <si>
    <t xml:space="preserve">DNS, WAF, terminaison TLS (Let's Encrypt)</t>
  </si>
  <si>
    <t xml:space="preserve">support@cloudflare.com</t>
  </si>
  <si>
    <t xml:space="preserve">Important</t>
  </si>
  <si>
    <t xml:space="preserve">2026-02-01</t>
  </si>
  <si>
    <t xml:space="preserve">2027-01-31</t>
  </si>
  <si>
    <t xml:space="preserve">Mensuel</t>
  </si>
  <si>
    <t xml:space="preserve">Odoo S.A.</t>
  </si>
  <si>
    <t xml:space="preserve">Éditeur logiciel</t>
  </si>
  <si>
    <t xml:space="preserve">Support ERP Odoo Enterprise + montées de version</t>
  </si>
  <si>
    <t xml:space="preserve">support@odoo.com</t>
  </si>
  <si>
    <t xml:space="preserve">2026-01-15</t>
  </si>
  <si>
    <t xml:space="preserve">2027-01-14</t>
  </si>
  <si>
    <t xml:space="preserve">Canonical</t>
  </si>
  <si>
    <t xml:space="preserve">Support OS</t>
  </si>
  <si>
    <t xml:space="preserve">Support Ubuntu LTS (sécurité, noyau)</t>
  </si>
  <si>
    <t xml:space="preserve">support@canonical.com</t>
  </si>
  <si>
    <t xml:space="preserve">Standard</t>
  </si>
  <si>
    <t xml:space="preserve">InfoGérance SARL</t>
  </si>
  <si>
    <t xml:space="preserve">Infogérance (TMA)</t>
  </si>
  <si>
    <t xml:space="preserve">Run, supervision 24/7, astreinte cluster</t>
  </si>
  <si>
    <t xml:space="preserve">contact@infogerance.fr</t>
  </si>
  <si>
    <t xml:space="preserve">2026-03-01</t>
  </si>
  <si>
    <t xml:space="preserve">2027-02-28</t>
  </si>
  <si>
    <t xml:space="preserve">Journalier</t>
  </si>
  <si>
    <t xml:space="preserve">TOTAL / MOYENNE</t>
  </si>
  <si>
    <t xml:space="preserve">Synthèse &amp; indicateurs de pilotage</t>
  </si>
  <si>
    <t xml:space="preserve">Nombre de prestataires</t>
  </si>
  <si>
    <t xml:space="preserve">Coût annuel total</t>
  </si>
  <si>
    <t xml:space="preserve">SLA cible moyen</t>
  </si>
  <si>
    <t xml:space="preserve">Dispo réelle moyenne</t>
  </si>
  <si>
    <t xml:space="preserve">Pénalités dues (€)</t>
  </si>
  <si>
    <t xml:space="preserve">Prestataires non conformes</t>
  </si>
  <si>
    <t xml:space="preserve">Analyse croisée — par catégorie de prestation</t>
  </si>
  <si>
    <t xml:space="preserve">Nb prestataires</t>
  </si>
  <si>
    <t xml:space="preserve">Pénalités (€)</t>
  </si>
  <si>
    <t xml:space="preserve">% du coût total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</si>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</sst>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%"/>
    <numFmt numFmtId="167" formatCode="#,##0&quot; €&quot;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2E5496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AB4744"/>
      <rgbColor rgb="FFF9F9F9"/>
      <rgbColor rgb="FFF2F2F2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C0504D"/>
      <rgbColor rgb="FF2E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Coût annuel par catégorie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Synthèse!C11</c:f>
              <c:strCache>
                <c:ptCount val="1"/>
                <c:pt idx="0">
                  <c:v>Coût annuel (€)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Synthèse!$A$12:$A$17</c:f>
              <c:strCache>
                <c:ptCount val="6"/>
                <c:pt idx="0">
                  <c:v>Hébergement cloud</c:v>
                </c:pt>
                <c:pt idx="1">
                  <c:v>Hébergement / Backup</c:v>
                </c:pt>
                <c:pt idx="2">
                  <c:v>Réseau / Sécurité</c:v>
                </c:pt>
                <c:pt idx="3">
                  <c:v>Éditeur logiciel</c:v>
                </c:pt>
                <c:pt idx="4">
                  <c:v>Support OS</c:v>
                </c:pt>
                <c:pt idx="5">
                  <c:v>Infogérance (TMA)</c:v>
                </c:pt>
              </c:strCache>
            </c:strRef>
          </c:cat>
          <c:val>
            <c:numRef>
              <c:f>Synthèse!$C$12:$C$17</c:f>
              <c:numCache>
                <c:formatCode>#,##0" €"</c:formatCode>
                <c:ptCount val="6"/>
                <c:pt idx="0">
                  <c:v>22200</c:v>
                </c:pt>
                <c:pt idx="1">
                  <c:v>11040</c:v>
                </c:pt>
                <c:pt idx="2">
                  <c:v>2520</c:v>
                </c:pt>
                <c:pt idx="3">
                  <c:v>7680</c:v>
                </c:pt>
                <c:pt idx="4">
                  <c:v>4560</c:v>
                </c:pt>
                <c:pt idx="5">
                  <c:v>28800</c:v>
                </c:pt>
              </c:numCache>
            </c:numRef>
          </c:val>
        </c:ser>
        <c:gapWidth val="150"/>
        <c:overlap val="0"/>
        <c:axId val="11178654"/>
        <c:axId val="73724704"/>
      </c:barChart>
      <c:catAx>
        <c:axId val="111786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724704"/>
        <c:crosses val="autoZero"/>
        <c:auto val="1"/>
        <c:lblAlgn val="ctr"/>
        <c:lblOffset val="100"/>
        <c:noMultiLvlLbl val="0"/>
      </c:catAx>
      <c:valAx>
        <c:axId val="73724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€/an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1786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Répartition du coût annuel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Synthèse!C11</c:f>
              <c:strCache>
                <c:ptCount val="1"/>
                <c:pt idx="0">
                  <c:v>Coût annuel (€)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Synthèse!$A$12:$A$17</c:f>
              <c:strCache>
                <c:ptCount val="6"/>
                <c:pt idx="0">
                  <c:v>Hébergement cloud</c:v>
                </c:pt>
                <c:pt idx="1">
                  <c:v>Hébergement / Backup</c:v>
                </c:pt>
                <c:pt idx="2">
                  <c:v>Réseau / Sécurité</c:v>
                </c:pt>
                <c:pt idx="3">
                  <c:v>Éditeur logiciel</c:v>
                </c:pt>
                <c:pt idx="4">
                  <c:v>Support OS</c:v>
                </c:pt>
                <c:pt idx="5">
                  <c:v>Infogérance (TMA)</c:v>
                </c:pt>
              </c:strCache>
            </c:strRef>
          </c:cat>
          <c:val>
            <c:numRef>
              <c:f>Synthèse!$C$12:$C$17</c:f>
              <c:numCache>
                <c:formatCode>#,##0" €"</c:formatCode>
                <c:ptCount val="6"/>
                <c:pt idx="0">
                  <c:v>22200</c:v>
                </c:pt>
                <c:pt idx="1">
                  <c:v>11040</c:v>
                </c:pt>
                <c:pt idx="2">
                  <c:v>2520</c:v>
                </c:pt>
                <c:pt idx="3">
                  <c:v>7680</c:v>
                </c:pt>
                <c:pt idx="4">
                  <c:v>4560</c:v>
                </c:pt>
                <c:pt idx="5">
                  <c:v>28800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SLA cible vs disponibilité réelle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Prestataires!F4</c:f>
              <c:strCache>
                <c:ptCount val="1"/>
                <c:pt idx="0">
                  <c:v>SLA cible (dispo)</c:v>
                </c:pt>
              </c:strCache>
            </c:strRef>
          </c:tx>
          <c:spPr>
            <a:solidFill>
              <a:srgbClr val="AB474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Prestataires!$A$5:$A$10</c:f>
              <c:strCache>
                <c:ptCount val="6"/>
                <c:pt idx="0">
                  <c:v>Scaleway</c:v>
                </c:pt>
                <c:pt idx="1">
                  <c:v>OVHcloud</c:v>
                </c:pt>
                <c:pt idx="2">
                  <c:v>Cloudflare</c:v>
                </c:pt>
                <c:pt idx="3">
                  <c:v>Odoo S.A.</c:v>
                </c:pt>
                <c:pt idx="4">
                  <c:v>Canonical</c:v>
                </c:pt>
                <c:pt idx="5">
                  <c:v>InfoGérance SARL</c:v>
                </c:pt>
              </c:strCache>
            </c:strRef>
          </c:cat>
          <c:val>
            <c:numRef>
              <c:f>Prestataires!$F$5:$F$10</c:f>
              <c:numCache>
                <c:formatCode>0.0%</c:formatCode>
                <c:ptCount val="6"/>
                <c:pt idx="0">
                  <c:v>0.997</c:v>
                </c:pt>
                <c:pt idx="1">
                  <c:v>0.995</c:v>
                </c:pt>
                <c:pt idx="2">
                  <c:v>0.999</c:v>
                </c:pt>
                <c:pt idx="3">
                  <c:v>0.99</c:v>
                </c:pt>
                <c:pt idx="4">
                  <c:v>0.98</c:v>
                </c:pt>
                <c:pt idx="5">
                  <c:v>0.995</c:v>
                </c:pt>
              </c:numCache>
            </c:numRef>
          </c:val>
        </c:ser>
        <c:ser>
          <c:idx val="1"/>
          <c:order val="1"/>
          <c:tx>
            <c:strRef>
              <c:f>Prestataires!G4</c:f>
              <c:strCache>
                <c:ptCount val="1"/>
                <c:pt idx="0">
                  <c:v>Dispo réelle</c:v>
                </c:pt>
              </c:strCache>
            </c:strRef>
          </c:tx>
          <c:spPr>
            <a:solidFill>
              <a:srgbClr val="D094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Prestataires!$A$5:$A$10</c:f>
              <c:strCache>
                <c:ptCount val="6"/>
                <c:pt idx="0">
                  <c:v>Scaleway</c:v>
                </c:pt>
                <c:pt idx="1">
                  <c:v>OVHcloud</c:v>
                </c:pt>
                <c:pt idx="2">
                  <c:v>Cloudflare</c:v>
                </c:pt>
                <c:pt idx="3">
                  <c:v>Odoo S.A.</c:v>
                </c:pt>
                <c:pt idx="4">
                  <c:v>Canonical</c:v>
                </c:pt>
                <c:pt idx="5">
                  <c:v>InfoGérance SARL</c:v>
                </c:pt>
              </c:strCache>
            </c:strRef>
          </c:cat>
          <c:val>
            <c:numRef>
              <c:f>Prestataires!$G$5:$G$10</c:f>
              <c:numCache>
                <c:formatCode>0.00%</c:formatCode>
                <c:ptCount val="6"/>
                <c:pt idx="0">
                  <c:v>0.9982</c:v>
                </c:pt>
                <c:pt idx="1">
                  <c:v>0.9991</c:v>
                </c:pt>
                <c:pt idx="2">
                  <c:v>0.9997</c:v>
                </c:pt>
                <c:pt idx="3">
                  <c:v>0.9985</c:v>
                </c:pt>
                <c:pt idx="4">
                  <c:v>0.992</c:v>
                </c:pt>
                <c:pt idx="5">
                  <c:v>0.9938</c:v>
                </c:pt>
              </c:numCache>
            </c:numRef>
          </c:val>
        </c:ser>
        <c:gapWidth val="150"/>
        <c:overlap val="0"/>
        <c:axId val="66321761"/>
        <c:axId val="44984438"/>
      </c:barChart>
      <c:catAx>
        <c:axId val="663217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984438"/>
        <c:crosses val="autoZero"/>
        <c:auto val="1"/>
        <c:lblAlgn val="ctr"/>
        <c:lblOffset val="100"/>
        <c:noMultiLvlLbl val="0"/>
      </c:catAx>
      <c:valAx>
        <c:axId val="44984438"/>
        <c:scaling>
          <c:orientation val="minMax"/>
          <c:max val="1"/>
          <c:min val="0.9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3217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4</xdr:col>
      <xdr:colOff>810360</xdr:colOff>
      <xdr:row>33</xdr:row>
      <xdr:rowOff>32760</xdr:rowOff>
    </xdr:to>
    <xdr:graphicFrame>
      <xdr:nvGraphicFramePr>
        <xdr:cNvPr id="1" name="Chart 1"/>
        <xdr:cNvGraphicFramePr/>
      </xdr:nvGraphicFramePr>
      <xdr:xfrm>
        <a:off x="0" y="3889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8</xdr:col>
      <xdr:colOff>427680</xdr:colOff>
      <xdr:row>33</xdr:row>
      <xdr:rowOff>32760</xdr:rowOff>
    </xdr:to>
    <xdr:graphicFrame>
      <xdr:nvGraphicFramePr>
        <xdr:cNvPr id="2" name="Chart 2"/>
        <xdr:cNvGraphicFramePr/>
      </xdr:nvGraphicFramePr>
      <xdr:xfrm>
        <a:off x="5286240" y="388944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6</xdr:col>
      <xdr:colOff>136080</xdr:colOff>
      <xdr:row>50</xdr:row>
      <xdr:rowOff>21960</xdr:rowOff>
    </xdr:to>
    <xdr:graphicFrame>
      <xdr:nvGraphicFramePr>
        <xdr:cNvPr id="3" name="Chart 3"/>
        <xdr:cNvGraphicFramePr/>
      </xdr:nvGraphicFramePr>
      <xdr:xfrm>
        <a:off x="0" y="69372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2"/>
    <col collapsed="false" customWidth="true" hidden="false" outlineLevel="0" max="16" min="16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P4" s="3" t="s">
        <v>16</v>
      </c>
    </row>
    <row r="5" customFormat="false" ht="23.8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5" t="s">
        <v>21</v>
      </c>
      <c r="F5" s="6" t="n">
        <v>0.997</v>
      </c>
      <c r="G5" s="7" t="n">
        <v>0.9982</v>
      </c>
      <c r="H5" s="8" t="n">
        <v>1850</v>
      </c>
      <c r="I5" s="8" t="n">
        <f aca="false">H5*12</f>
        <v>22200</v>
      </c>
      <c r="J5" s="6" t="n">
        <v>0.05</v>
      </c>
      <c r="K5" s="8" t="n">
        <f aca="false">IF(G5&lt;F5,I5*J5,0)</f>
        <v>0</v>
      </c>
      <c r="L5" s="5" t="str">
        <f aca="false">IF(G5&gt;=F5,"Conforme","Non conforme")</f>
        <v>Conforme</v>
      </c>
      <c r="M5" s="5" t="s">
        <v>22</v>
      </c>
      <c r="N5" s="5" t="s">
        <v>23</v>
      </c>
      <c r="P5" s="5" t="s">
        <v>24</v>
      </c>
    </row>
    <row r="6" customFormat="false" ht="23.85" hidden="false" customHeight="false" outlineLevel="0" collapsed="false">
      <c r="A6" s="4" t="s">
        <v>25</v>
      </c>
      <c r="B6" s="4" t="s">
        <v>26</v>
      </c>
      <c r="C6" s="4" t="s">
        <v>27</v>
      </c>
      <c r="D6" s="4" t="s">
        <v>28</v>
      </c>
      <c r="E6" s="5" t="s">
        <v>21</v>
      </c>
      <c r="F6" s="6" t="n">
        <v>0.995</v>
      </c>
      <c r="G6" s="7" t="n">
        <v>0.9991</v>
      </c>
      <c r="H6" s="8" t="n">
        <v>920</v>
      </c>
      <c r="I6" s="8" t="n">
        <f aca="false">H6*12</f>
        <v>11040</v>
      </c>
      <c r="J6" s="6" t="n">
        <v>0.05</v>
      </c>
      <c r="K6" s="8" t="n">
        <f aca="false">IF(G6&lt;F6,I6*J6,0)</f>
        <v>0</v>
      </c>
      <c r="L6" s="5" t="str">
        <f aca="false">IF(G6&gt;=F6,"Conforme","Non conforme")</f>
        <v>Conforme</v>
      </c>
      <c r="M6" s="5" t="s">
        <v>22</v>
      </c>
      <c r="N6" s="5" t="s">
        <v>23</v>
      </c>
      <c r="P6" s="5" t="s">
        <v>24</v>
      </c>
    </row>
    <row r="7" customFormat="false" ht="23.85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5" t="s">
        <v>33</v>
      </c>
      <c r="F7" s="6" t="n">
        <v>0.999</v>
      </c>
      <c r="G7" s="7" t="n">
        <v>0.9997</v>
      </c>
      <c r="H7" s="8" t="n">
        <v>210</v>
      </c>
      <c r="I7" s="8" t="n">
        <f aca="false">H7*12</f>
        <v>2520</v>
      </c>
      <c r="J7" s="6" t="n">
        <v>0.03</v>
      </c>
      <c r="K7" s="8" t="n">
        <f aca="false">IF(G7&lt;F7,I7*J7,0)</f>
        <v>0</v>
      </c>
      <c r="L7" s="5" t="str">
        <f aca="false">IF(G7&gt;=F7,"Conforme","Non conforme")</f>
        <v>Conforme</v>
      </c>
      <c r="M7" s="5" t="s">
        <v>34</v>
      </c>
      <c r="N7" s="5" t="s">
        <v>35</v>
      </c>
      <c r="P7" s="5" t="s">
        <v>36</v>
      </c>
    </row>
    <row r="8" customFormat="false" ht="23.85" hidden="false" customHeight="false" outlineLevel="0" collapsed="false">
      <c r="A8" s="4" t="s">
        <v>37</v>
      </c>
      <c r="B8" s="4" t="s">
        <v>38</v>
      </c>
      <c r="C8" s="4" t="s">
        <v>39</v>
      </c>
      <c r="D8" s="4" t="s">
        <v>40</v>
      </c>
      <c r="E8" s="5" t="s">
        <v>33</v>
      </c>
      <c r="F8" s="6" t="n">
        <v>0.99</v>
      </c>
      <c r="G8" s="7" t="n">
        <v>0.9985</v>
      </c>
      <c r="H8" s="8" t="n">
        <v>640</v>
      </c>
      <c r="I8" s="8" t="n">
        <f aca="false">H8*12</f>
        <v>7680</v>
      </c>
      <c r="J8" s="6" t="n">
        <v>0.02</v>
      </c>
      <c r="K8" s="8" t="n">
        <f aca="false">IF(G8&lt;F8,I8*J8,0)</f>
        <v>0</v>
      </c>
      <c r="L8" s="5" t="str">
        <f aca="false">IF(G8&gt;=F8,"Conforme","Non conforme")</f>
        <v>Conforme</v>
      </c>
      <c r="M8" s="5" t="s">
        <v>41</v>
      </c>
      <c r="N8" s="5" t="s">
        <v>42</v>
      </c>
      <c r="P8" s="5" t="s">
        <v>36</v>
      </c>
    </row>
    <row r="9" customFormat="false" ht="15" hidden="false" customHeight="false" outlineLevel="0" collapsed="false">
      <c r="A9" s="4" t="s">
        <v>43</v>
      </c>
      <c r="B9" s="4" t="s">
        <v>44</v>
      </c>
      <c r="C9" s="4" t="s">
        <v>45</v>
      </c>
      <c r="D9" s="4" t="s">
        <v>46</v>
      </c>
      <c r="E9" s="5" t="s">
        <v>47</v>
      </c>
      <c r="F9" s="6" t="n">
        <v>0.98</v>
      </c>
      <c r="G9" s="7" t="n">
        <v>0.992</v>
      </c>
      <c r="H9" s="8" t="n">
        <v>380</v>
      </c>
      <c r="I9" s="8" t="n">
        <f aca="false">H9*12</f>
        <v>4560</v>
      </c>
      <c r="J9" s="6" t="n">
        <v>0.02</v>
      </c>
      <c r="K9" s="8" t="n">
        <f aca="false">IF(G9&lt;F9,I9*J9,0)</f>
        <v>0</v>
      </c>
      <c r="L9" s="5" t="str">
        <f aca="false">IF(G9&gt;=F9,"Conforme","Non conforme")</f>
        <v>Conforme</v>
      </c>
      <c r="M9" s="5" t="s">
        <v>22</v>
      </c>
      <c r="N9" s="5" t="s">
        <v>23</v>
      </c>
      <c r="P9" s="5" t="s">
        <v>36</v>
      </c>
    </row>
    <row r="10" customFormat="false" ht="15" hidden="false" customHeight="false" outlineLevel="0" collapsed="false">
      <c r="A10" s="4" t="s">
        <v>48</v>
      </c>
      <c r="B10" s="4" t="s">
        <v>49</v>
      </c>
      <c r="C10" s="4" t="s">
        <v>50</v>
      </c>
      <c r="D10" s="4" t="s">
        <v>51</v>
      </c>
      <c r="E10" s="5" t="s">
        <v>21</v>
      </c>
      <c r="F10" s="6" t="n">
        <v>0.995</v>
      </c>
      <c r="G10" s="7" t="n">
        <v>0.9938</v>
      </c>
      <c r="H10" s="8" t="n">
        <v>2400</v>
      </c>
      <c r="I10" s="8" t="n">
        <f aca="false">H10*12</f>
        <v>28800</v>
      </c>
      <c r="J10" s="6" t="n">
        <v>0.08</v>
      </c>
      <c r="K10" s="8" t="n">
        <f aca="false">IF(G10&lt;F10,I10*J10,0)</f>
        <v>2304</v>
      </c>
      <c r="L10" s="5" t="str">
        <f aca="false">IF(G10&gt;=F10,"Conforme","Non conforme")</f>
        <v>Non conforme</v>
      </c>
      <c r="M10" s="5" t="s">
        <v>52</v>
      </c>
      <c r="N10" s="5" t="s">
        <v>53</v>
      </c>
      <c r="P10" s="5" t="s">
        <v>54</v>
      </c>
    </row>
    <row r="11" customFormat="false" ht="26.85" hidden="false" customHeight="false" outlineLevel="0" collapsed="false">
      <c r="A11" s="9" t="s">
        <v>55</v>
      </c>
      <c r="B11" s="10"/>
      <c r="C11" s="10"/>
      <c r="D11" s="10"/>
      <c r="E11" s="10"/>
      <c r="F11" s="11" t="n">
        <f aca="false">AVERAGE(F5:F10)</f>
        <v>0.992666666666667</v>
      </c>
      <c r="G11" s="12" t="n">
        <f aca="false">AVERAGE(G5:G10)</f>
        <v>0.996883333333333</v>
      </c>
      <c r="H11" s="13" t="n">
        <f aca="false">SUM(H5:H10)</f>
        <v>6400</v>
      </c>
      <c r="I11" s="13" t="n">
        <f aca="false">SUM(I5:I10)</f>
        <v>76800</v>
      </c>
      <c r="J11" s="10"/>
      <c r="K11" s="13" t="n">
        <f aca="false">SUM(K5:K10)</f>
        <v>2304</v>
      </c>
      <c r="L11" s="10"/>
      <c r="M11" s="10"/>
      <c r="N11" s="10"/>
    </row>
  </sheetData>
  <mergeCells count="2">
    <mergeCell ref="A1:N1"/>
    <mergeCell ref="A2:N2"/>
  </mergeCells>
  <conditionalFormatting sqref="L5:L10">
    <cfRule type="cellIs" priority="2" operator="equal" aboveAverage="0" equalAverage="0" bottom="0" percent="0" rank="0" text="" dxfId="0">
      <formula>"Conforme"</formula>
    </cfRule>
    <cfRule type="cellIs" priority="3" operator="equal" aboveAverage="0" equalAverage="0" bottom="0" percent="0" rank="0" text="" dxfId="1">
      <formula>"Non conforme"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5"/>
  </cols>
  <sheetData>
    <row r="1" customFormat="false" ht="19.7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14" t="s">
        <v>57</v>
      </c>
      <c r="B3" s="14"/>
      <c r="D3" s="14" t="s">
        <v>58</v>
      </c>
      <c r="E3" s="14"/>
      <c r="G3" s="14" t="s">
        <v>59</v>
      </c>
      <c r="H3" s="14"/>
    </row>
    <row r="4" customFormat="false" ht="17.35" hidden="false" customHeight="false" outlineLevel="0" collapsed="false">
      <c r="A4" s="15" t="n">
        <f aca="false">COUNTA(Prestataires!A5:A10)</f>
        <v>6</v>
      </c>
      <c r="B4" s="15"/>
      <c r="D4" s="16" t="n">
        <f aca="false">Prestataires!I11</f>
        <v>76800</v>
      </c>
      <c r="E4" s="16"/>
      <c r="G4" s="17" t="n">
        <f aca="false">Prestataires!F11</f>
        <v>0.992666666666667</v>
      </c>
      <c r="H4" s="17"/>
    </row>
    <row r="6" customFormat="false" ht="15" hidden="false" customHeight="true" outlineLevel="0" collapsed="false">
      <c r="A6" s="14" t="s">
        <v>60</v>
      </c>
      <c r="B6" s="14"/>
      <c r="D6" s="14" t="s">
        <v>61</v>
      </c>
      <c r="E6" s="14"/>
      <c r="G6" s="14" t="s">
        <v>62</v>
      </c>
      <c r="H6" s="14"/>
    </row>
    <row r="7" customFormat="false" ht="17.35" hidden="false" customHeight="false" outlineLevel="0" collapsed="false">
      <c r="A7" s="18" t="n">
        <f aca="false">Prestataires!G11</f>
        <v>0.996883333333333</v>
      </c>
      <c r="B7" s="18"/>
      <c r="D7" s="16" t="n">
        <f aca="false">Prestataires!K11</f>
        <v>2304</v>
      </c>
      <c r="E7" s="16"/>
      <c r="G7" s="15" t="n">
        <f aca="false">COUNTIF(Prestataires!L5:L10,"Non conforme")</f>
        <v>1</v>
      </c>
      <c r="H7" s="15"/>
    </row>
    <row r="10" customFormat="false" ht="15" hidden="false" customHeight="false" outlineLevel="0" collapsed="false">
      <c r="A10" s="19" t="s">
        <v>63</v>
      </c>
      <c r="B10" s="19"/>
      <c r="C10" s="19"/>
      <c r="D10" s="19"/>
      <c r="E10" s="19"/>
    </row>
    <row r="11" customFormat="false" ht="26.85" hidden="false" customHeight="false" outlineLevel="0" collapsed="false">
      <c r="A11" s="3" t="s">
        <v>3</v>
      </c>
      <c r="B11" s="3" t="s">
        <v>64</v>
      </c>
      <c r="C11" s="3" t="s">
        <v>10</v>
      </c>
      <c r="D11" s="3" t="s">
        <v>65</v>
      </c>
      <c r="E11" s="3" t="s">
        <v>66</v>
      </c>
    </row>
    <row r="12" customFormat="false" ht="15" hidden="false" customHeight="false" outlineLevel="0" collapsed="false">
      <c r="A12" s="20" t="s">
        <v>18</v>
      </c>
      <c r="B12" s="21" t="n">
        <f aca="false">COUNTIF(Prestataires!B$5:B$10,A12)</f>
        <v>1</v>
      </c>
      <c r="C12" s="8" t="n">
        <f aca="false">SUMIF(Prestataires!B$5:B$10,A12,Prestataires!I$5:I$10)</f>
        <v>22200</v>
      </c>
      <c r="D12" s="8" t="n">
        <f aca="false">SUMIF(Prestataires!B$5:B$10,A12,Prestataires!K$5:K$10)</f>
        <v>0</v>
      </c>
      <c r="E12" s="6" t="n">
        <f aca="false">C12/$C$18</f>
        <v>0.2890625</v>
      </c>
    </row>
    <row r="13" customFormat="false" ht="15" hidden="false" customHeight="false" outlineLevel="0" collapsed="false">
      <c r="A13" s="20" t="s">
        <v>26</v>
      </c>
      <c r="B13" s="21" t="n">
        <f aca="false">COUNTIF(Prestataires!B$5:B$10,A13)</f>
        <v>1</v>
      </c>
      <c r="C13" s="8" t="n">
        <f aca="false">SUMIF(Prestataires!B$5:B$10,A13,Prestataires!I$5:I$10)</f>
        <v>11040</v>
      </c>
      <c r="D13" s="8" t="n">
        <f aca="false">SUMIF(Prestataires!B$5:B$10,A13,Prestataires!K$5:K$10)</f>
        <v>0</v>
      </c>
      <c r="E13" s="6" t="n">
        <f aca="false">C13/$C$18</f>
        <v>0.14375</v>
      </c>
    </row>
    <row r="14" customFormat="false" ht="15" hidden="false" customHeight="false" outlineLevel="0" collapsed="false">
      <c r="A14" s="20" t="s">
        <v>30</v>
      </c>
      <c r="B14" s="21" t="n">
        <f aca="false">COUNTIF(Prestataires!B$5:B$10,A14)</f>
        <v>1</v>
      </c>
      <c r="C14" s="8" t="n">
        <f aca="false">SUMIF(Prestataires!B$5:B$10,A14,Prestataires!I$5:I$10)</f>
        <v>2520</v>
      </c>
      <c r="D14" s="8" t="n">
        <f aca="false">SUMIF(Prestataires!B$5:B$10,A14,Prestataires!K$5:K$10)</f>
        <v>0</v>
      </c>
      <c r="E14" s="6" t="n">
        <f aca="false">C14/$C$18</f>
        <v>0.0328125</v>
      </c>
    </row>
    <row r="15" customFormat="false" ht="15" hidden="false" customHeight="false" outlineLevel="0" collapsed="false">
      <c r="A15" s="20" t="s">
        <v>38</v>
      </c>
      <c r="B15" s="21" t="n">
        <f aca="false">COUNTIF(Prestataires!B$5:B$10,A15)</f>
        <v>1</v>
      </c>
      <c r="C15" s="8" t="n">
        <f aca="false">SUMIF(Prestataires!B$5:B$10,A15,Prestataires!I$5:I$10)</f>
        <v>7680</v>
      </c>
      <c r="D15" s="8" t="n">
        <f aca="false">SUMIF(Prestataires!B$5:B$10,A15,Prestataires!K$5:K$10)</f>
        <v>0</v>
      </c>
      <c r="E15" s="6" t="n">
        <f aca="false">C15/$C$18</f>
        <v>0.1</v>
      </c>
    </row>
    <row r="16" customFormat="false" ht="15" hidden="false" customHeight="false" outlineLevel="0" collapsed="false">
      <c r="A16" s="20" t="s">
        <v>44</v>
      </c>
      <c r="B16" s="21" t="n">
        <f aca="false">COUNTIF(Prestataires!B$5:B$10,A16)</f>
        <v>1</v>
      </c>
      <c r="C16" s="8" t="n">
        <f aca="false">SUMIF(Prestataires!B$5:B$10,A16,Prestataires!I$5:I$10)</f>
        <v>4560</v>
      </c>
      <c r="D16" s="8" t="n">
        <f aca="false">SUMIF(Prestataires!B$5:B$10,A16,Prestataires!K$5:K$10)</f>
        <v>0</v>
      </c>
      <c r="E16" s="6" t="n">
        <f aca="false">C16/$C$18</f>
        <v>0.059375</v>
      </c>
    </row>
    <row r="17" customFormat="false" ht="15" hidden="false" customHeight="false" outlineLevel="0" collapsed="false">
      <c r="A17" s="20" t="s">
        <v>49</v>
      </c>
      <c r="B17" s="21" t="n">
        <f aca="false">COUNTIF(Prestataires!B$5:B$10,A17)</f>
        <v>1</v>
      </c>
      <c r="C17" s="8" t="n">
        <f aca="false">SUMIF(Prestataires!B$5:B$10,A17,Prestataires!I$5:I$10)</f>
        <v>28800</v>
      </c>
      <c r="D17" s="8" t="n">
        <f aca="false">SUMIF(Prestataires!B$5:B$10,A17,Prestataires!K$5:K$10)</f>
        <v>2304</v>
      </c>
      <c r="E17" s="6" t="n">
        <f aca="false">C17/$C$18</f>
        <v>0.375</v>
      </c>
    </row>
    <row r="18" customFormat="false" ht="15" hidden="false" customHeight="false" outlineLevel="0" collapsed="false">
      <c r="A18" s="22" t="s">
        <v>67</v>
      </c>
      <c r="B18" s="23" t="n">
        <f aca="false">SUM(B12:B17)</f>
        <v>6</v>
      </c>
      <c r="C18" s="13" t="n">
        <f aca="false">SUM(C12:C17)</f>
        <v>76800</v>
      </c>
      <c r="D18" s="13" t="n">
        <f aca="false">SUM(D12:D17)</f>
        <v>2304</v>
      </c>
      <c r="E18" s="11" t="n">
        <f aca="false">C18/C18</f>
        <v>1</v>
      </c>
    </row>
  </sheetData>
  <mergeCells count="14">
    <mergeCell ref="A1:H1"/>
    <mergeCell ref="A3:B3"/>
    <mergeCell ref="D3:E3"/>
    <mergeCell ref="G3:H3"/>
    <mergeCell ref="A4:B4"/>
    <mergeCell ref="D4:E4"/>
    <mergeCell ref="G4:H4"/>
    <mergeCell ref="A6:B6"/>
    <mergeCell ref="D6:E6"/>
    <mergeCell ref="G6:H6"/>
    <mergeCell ref="A7:B7"/>
    <mergeCell ref="D7:E7"/>
    <mergeCell ref="G7:H7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2026-06-15T12:31:28Z</dcterms:created>
  <dc:creator>openpyxl</dc:creator>
  <dc:description/>
  <dc:language>en-US</dc:language>
  <cp:lastModifiedBy/>
  <dcterms:modified xsi:type="dcterms:W3CDTF">2026-06-15T12:31:37Z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