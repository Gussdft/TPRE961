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Kanb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<sst xmlns="http://schemas.openxmlformats.org/spreadsheetml/2006/main" count="91" uniqueCount="69">
  <si>
    <t xml:space="preserve">Diagramme de Gantt — MSPR TPRE961 (PoC Kubernetes / Odoo — COGIP/Tesker)</t>
  </si>
  <si>
    <t xml:space="preserve">Methode : Scrum hybride / Kanban. Equipe : Augustin DUFETELLE, Victor LESCOUTRE, Yvan DANJOU.</t>
  </si>
  <si>
    <t xml:space="preserve">Phase</t>
  </si>
  <si>
    <t xml:space="preserve">Tache (mission)</t>
  </si>
  <si>
    <t xml:space="preserve">Responsable</t>
  </si>
  <si>
    <t xml:space="preserve">Debut</t>
  </si>
  <si>
    <t xml:space="preserve">Fin</t>
  </si>
  <si>
    <t xml:space="preserve">Duree (j)</t>
  </si>
  <si>
    <t xml:space="preserve">Avanc.</t>
  </si>
  <si>
    <t xml:space="preserve">Cadrage</t>
  </si>
  <si>
    <t xml:space="preserve">Analyse du besoin &amp; cahier des charges</t>
  </si>
  <si>
    <t xml:space="preserve">A. DUFETELLE</t>
  </si>
  <si>
    <t xml:space="preserve">M1 — Choix des technologies &amp; justification</t>
  </si>
  <si>
    <t xml:space="preserve">M2 — Organisation projet, Gantt, roles</t>
  </si>
  <si>
    <t xml:space="preserve">Y. DANJOU</t>
  </si>
  <si>
    <t xml:space="preserve">Infra IaC</t>
  </si>
  <si>
    <t xml:space="preserve">Mise en place environnement (Multipass, outils)</t>
  </si>
  <si>
    <t xml:space="preserve">V. LESCOUTRE</t>
  </si>
  <si>
    <t xml:space="preserve">M5 — Terraform : VMs + cloud-init</t>
  </si>
  <si>
    <t xml:space="preserve">Script de generation de l'inventaire</t>
  </si>
  <si>
    <t xml:space="preserve">Cluster</t>
  </si>
  <si>
    <t xml:space="preserve">Ansible : role common + serveur NFS</t>
  </si>
  <si>
    <t xml:space="preserve">M6 — Ansible : K3s control-plane + 2 workers</t>
  </si>
  <si>
    <t xml:space="preserve">Plateforme : Helm (NFS provisioner + cert-manager)</t>
  </si>
  <si>
    <t xml:space="preserve">Applicatif</t>
  </si>
  <si>
    <t xml:space="preserve">M7 — Ansible : PostgreSQL + Odoo</t>
  </si>
  <si>
    <t xml:space="preserve">Ingress HTTPS + tests d'acces</t>
  </si>
  <si>
    <t xml:space="preserve">Suivi</t>
  </si>
  <si>
    <t xml:space="preserve">M3 — Suivi Kanban &amp; revues techniques</t>
  </si>
  <si>
    <t xml:space="preserve">Equipe</t>
  </si>
  <si>
    <t xml:space="preserve">Rendu</t>
  </si>
  <si>
    <t xml:space="preserve">Captures de preuve</t>
  </si>
  <si>
    <t xml:space="preserve">M8 — Dossier de rendu final</t>
  </si>
  <si>
    <t xml:space="preserve">Support de soutenance</t>
  </si>
  <si>
    <t xml:space="preserve">Repetition orale</t>
  </si>
  <si>
    <t xml:space="preserve">Jalons cles</t>
  </si>
  <si>
    <t xml:space="preserve">Jalon</t>
  </si>
  <si>
    <t xml:space="preserve">Date</t>
  </si>
  <si>
    <t xml:space="preserve">Livrable associe</t>
  </si>
  <si>
    <t xml:space="preserve">J1 — Cadrage valide</t>
  </si>
  <si>
    <t xml:space="preserve">Choix techno + Gantt</t>
  </si>
  <si>
    <t xml:space="preserve">J2 — Infrastructure Terraform OK</t>
  </si>
  <si>
    <t xml:space="preserve">3 VMs Multipass actives</t>
  </si>
  <si>
    <t xml:space="preserve">J3 — Cluster K3s operationnel</t>
  </si>
  <si>
    <t xml:space="preserve">1 control-plane + 2 workers Ready</t>
  </si>
  <si>
    <t xml:space="preserve">J4 — Odoo accessible en HTTPS</t>
  </si>
  <si>
    <t xml:space="preserve">https://odoo.cogip.local</t>
  </si>
  <si>
    <t xml:space="preserve">J5 — Soutenance</t>
  </si>
  <si>
    <t xml:space="preserve">Dossier + support + demo</t>
  </si>
  <si>
    <t xml:space="preserve">Tableau Kanban — suivi des taches (Mission 3)</t>
  </si>
  <si>
    <t xml:space="preserve">Flux : A faire -&gt; En cours -&gt; Revue technique -&gt; Termine. Revue technique realisee collectivement.</t>
  </si>
  <si>
    <t xml:space="preserve">A faire</t>
  </si>
  <si>
    <t xml:space="preserve">En cours</t>
  </si>
  <si>
    <t xml:space="preserve">Revue technique</t>
  </si>
  <si>
    <t xml:space="preserve">Termine</t>
  </si>
  <si>
    <t xml:space="preserve">Repetition orale
[Equipe]</t>
  </si>
  <si>
    <t xml:space="preserve">Dossier de rendu final
[A. DUFETELLE]</t>
  </si>
  <si>
    <t xml:space="preserve">Captures de preuve
[Y. DANJOU]</t>
  </si>
  <si>
    <t xml:space="preserve">Cahier des charges
[A. DUFETELLE]</t>
  </si>
  <si>
    <t xml:space="preserve">Support de soutenance
[Equipe]</t>
  </si>
  <si>
    <t xml:space="preserve">Relecture dossier
[Equipe]</t>
  </si>
  <si>
    <t xml:space="preserve">Choix technologies
[A. DUFETELLE]</t>
  </si>
  <si>
    <t xml:space="preserve">Terraform : VMs
[V. LESCOUTRE]</t>
  </si>
  <si>
    <t xml:space="preserve">Script inventaire
[V. LESCOUTRE]</t>
  </si>
  <si>
    <t xml:space="preserve">Ansible : NFS
[Y. DANJOU]</t>
  </si>
  <si>
    <t xml:space="preserve">Ansible : K3s cluster
[V. LESCOUTRE]</t>
  </si>
  <si>
    <t xml:space="preserve">Helm : NFS + cert-manager
[V. LESCOUTRE]</t>
  </si>
  <si>
    <t xml:space="preserve">Ansible : Odoo + PostgreSQL
[A. DUFETELLE]</t>
  </si>
  <si>
    <t xml:space="preserve">Ingress HTTPS
[Y. DANJOU]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</si>
</sst>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"/>
    <numFmt numFmtId="166" formatCode="dd/mm/yyyy"/>
    <numFmt numFmtId="167" formatCode="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496"/>
        <bgColor rgb="FF2E75B6"/>
      </patternFill>
    </fill>
    <fill>
      <patternFill patternType="solid">
        <fgColor rgb="FF1F3864"/>
        <bgColor rgb="FF333333"/>
      </patternFill>
    </fill>
    <fill>
      <patternFill patternType="solid">
        <fgColor rgb="FFBDD7EE"/>
        <bgColor rgb="FFC6EFC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2E75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H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32" min="8" style="0" width="3.6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6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n">
        <v>46160</v>
      </c>
      <c r="I4" s="4" t="n">
        <v>46161</v>
      </c>
      <c r="J4" s="4" t="n">
        <v>46162</v>
      </c>
      <c r="K4" s="4" t="n">
        <v>46163</v>
      </c>
      <c r="L4" s="4" t="n">
        <v>46164</v>
      </c>
      <c r="M4" s="4" t="n">
        <v>46167</v>
      </c>
      <c r="N4" s="4" t="n">
        <v>46168</v>
      </c>
      <c r="O4" s="4" t="n">
        <v>46169</v>
      </c>
      <c r="P4" s="4" t="n">
        <v>46170</v>
      </c>
      <c r="Q4" s="4" t="n">
        <v>46171</v>
      </c>
      <c r="R4" s="4" t="n">
        <v>46174</v>
      </c>
      <c r="S4" s="4" t="n">
        <v>46175</v>
      </c>
      <c r="T4" s="4" t="n">
        <v>46176</v>
      </c>
      <c r="U4" s="4" t="n">
        <v>46177</v>
      </c>
      <c r="V4" s="4" t="n">
        <v>46178</v>
      </c>
      <c r="W4" s="4" t="n">
        <v>46181</v>
      </c>
      <c r="X4" s="4" t="n">
        <v>46182</v>
      </c>
      <c r="Y4" s="4" t="n">
        <v>46183</v>
      </c>
      <c r="Z4" s="4" t="n">
        <v>46184</v>
      </c>
      <c r="AA4" s="4" t="n">
        <v>46185</v>
      </c>
      <c r="AB4" s="4" t="n">
        <v>46188</v>
      </c>
      <c r="AC4" s="4" t="n">
        <v>46189</v>
      </c>
      <c r="AD4" s="4" t="n">
        <v>46190</v>
      </c>
      <c r="AE4" s="4" t="n">
        <v>46191</v>
      </c>
      <c r="AF4" s="4" t="n">
        <v>46192</v>
      </c>
    </row>
    <row r="5" customFormat="false" ht="15" hidden="false" customHeight="false" outlineLevel="0" collapsed="false">
      <c r="A5" s="5" t="s">
        <v>9</v>
      </c>
      <c r="B5" s="6" t="s">
        <v>10</v>
      </c>
      <c r="C5" s="5" t="s">
        <v>11</v>
      </c>
      <c r="D5" s="7" t="n">
        <v>46160</v>
      </c>
      <c r="E5" s="7" t="n">
        <v>46162</v>
      </c>
      <c r="F5" s="8" t="n">
        <f aca="false">NETWORKDAYS(D5,E5)</f>
        <v>3</v>
      </c>
      <c r="G5" s="9" t="n">
        <v>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customFormat="false" ht="15" hidden="false" customHeight="false" outlineLevel="0" collapsed="false">
      <c r="A6" s="5" t="s">
        <v>9</v>
      </c>
      <c r="B6" s="6" t="s">
        <v>12</v>
      </c>
      <c r="C6" s="5" t="s">
        <v>11</v>
      </c>
      <c r="D6" s="7" t="n">
        <v>46161</v>
      </c>
      <c r="E6" s="7" t="n">
        <v>46163</v>
      </c>
      <c r="F6" s="8" t="n">
        <f aca="false">NETWORKDAYS(D6,E6)</f>
        <v>3</v>
      </c>
      <c r="G6" s="9" t="n">
        <v>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customFormat="false" ht="15" hidden="false" customHeight="false" outlineLevel="0" collapsed="false">
      <c r="A7" s="5" t="s">
        <v>9</v>
      </c>
      <c r="B7" s="6" t="s">
        <v>13</v>
      </c>
      <c r="C7" s="5" t="s">
        <v>14</v>
      </c>
      <c r="D7" s="7" t="n">
        <v>46162</v>
      </c>
      <c r="E7" s="7" t="n">
        <v>46164</v>
      </c>
      <c r="F7" s="8" t="n">
        <f aca="false">NETWORKDAYS(D7,E7)</f>
        <v>3</v>
      </c>
      <c r="G7" s="9" t="n">
        <v>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customFormat="false" ht="15" hidden="false" customHeight="false" outlineLevel="0" collapsed="false">
      <c r="A8" s="5" t="s">
        <v>15</v>
      </c>
      <c r="B8" s="6" t="s">
        <v>16</v>
      </c>
      <c r="C8" s="5" t="s">
        <v>17</v>
      </c>
      <c r="D8" s="7" t="n">
        <v>46164</v>
      </c>
      <c r="E8" s="7" t="n">
        <v>46167</v>
      </c>
      <c r="F8" s="8" t="n">
        <f aca="false">NETWORKDAYS(D8,E8)</f>
        <v>2</v>
      </c>
      <c r="G8" s="9" t="n">
        <v>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customFormat="false" ht="15" hidden="false" customHeight="false" outlineLevel="0" collapsed="false">
      <c r="A9" s="5" t="s">
        <v>15</v>
      </c>
      <c r="B9" s="6" t="s">
        <v>18</v>
      </c>
      <c r="C9" s="5" t="s">
        <v>17</v>
      </c>
      <c r="D9" s="7" t="n">
        <v>46167</v>
      </c>
      <c r="E9" s="7" t="n">
        <v>46170</v>
      </c>
      <c r="F9" s="8" t="n">
        <f aca="false">NETWORKDAYS(D9,E9)</f>
        <v>4</v>
      </c>
      <c r="G9" s="9" t="n">
        <v>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customFormat="false" ht="15" hidden="false" customHeight="false" outlineLevel="0" collapsed="false">
      <c r="A10" s="5" t="s">
        <v>15</v>
      </c>
      <c r="B10" s="6" t="s">
        <v>19</v>
      </c>
      <c r="C10" s="5" t="s">
        <v>17</v>
      </c>
      <c r="D10" s="7" t="n">
        <v>46169</v>
      </c>
      <c r="E10" s="7" t="n">
        <v>46170</v>
      </c>
      <c r="F10" s="8" t="n">
        <f aca="false">NETWORKDAYS(D10,E10)</f>
        <v>2</v>
      </c>
      <c r="G10" s="9" t="n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customFormat="false" ht="15" hidden="false" customHeight="false" outlineLevel="0" collapsed="false">
      <c r="A11" s="5" t="s">
        <v>20</v>
      </c>
      <c r="B11" s="6" t="s">
        <v>21</v>
      </c>
      <c r="C11" s="5" t="s">
        <v>14</v>
      </c>
      <c r="D11" s="7" t="n">
        <v>46170</v>
      </c>
      <c r="E11" s="7" t="n">
        <v>46174</v>
      </c>
      <c r="F11" s="8" t="n">
        <f aca="false">NETWORKDAYS(D11,E11)</f>
        <v>3</v>
      </c>
      <c r="G11" s="9" t="n">
        <v>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customFormat="false" ht="15" hidden="false" customHeight="false" outlineLevel="0" collapsed="false">
      <c r="A12" s="5" t="s">
        <v>20</v>
      </c>
      <c r="B12" s="6" t="s">
        <v>22</v>
      </c>
      <c r="C12" s="5" t="s">
        <v>17</v>
      </c>
      <c r="D12" s="7" t="n">
        <v>46174</v>
      </c>
      <c r="E12" s="7" t="n">
        <v>46177</v>
      </c>
      <c r="F12" s="8" t="n">
        <f aca="false">NETWORKDAYS(D12,E12)</f>
        <v>4</v>
      </c>
      <c r="G12" s="9" t="n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customFormat="false" ht="23.85" hidden="false" customHeight="false" outlineLevel="0" collapsed="false">
      <c r="A13" s="5" t="s">
        <v>20</v>
      </c>
      <c r="B13" s="6" t="s">
        <v>23</v>
      </c>
      <c r="C13" s="5" t="s">
        <v>17</v>
      </c>
      <c r="D13" s="7" t="n">
        <v>46176</v>
      </c>
      <c r="E13" s="7" t="n">
        <v>46178</v>
      </c>
      <c r="F13" s="8" t="n">
        <f aca="false">NETWORKDAYS(D13,E13)</f>
        <v>3</v>
      </c>
      <c r="G13" s="9" t="n">
        <v>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customFormat="false" ht="15" hidden="false" customHeight="false" outlineLevel="0" collapsed="false">
      <c r="A14" s="5" t="s">
        <v>24</v>
      </c>
      <c r="B14" s="6" t="s">
        <v>25</v>
      </c>
      <c r="C14" s="5" t="s">
        <v>11</v>
      </c>
      <c r="D14" s="7" t="n">
        <v>46178</v>
      </c>
      <c r="E14" s="7" t="n">
        <v>46182</v>
      </c>
      <c r="F14" s="8" t="n">
        <f aca="false">NETWORKDAYS(D14,E14)</f>
        <v>3</v>
      </c>
      <c r="G14" s="9" t="n">
        <v>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customFormat="false" ht="15" hidden="false" customHeight="false" outlineLevel="0" collapsed="false">
      <c r="A15" s="5" t="s">
        <v>24</v>
      </c>
      <c r="B15" s="6" t="s">
        <v>26</v>
      </c>
      <c r="C15" s="5" t="s">
        <v>14</v>
      </c>
      <c r="D15" s="7" t="n">
        <v>46181</v>
      </c>
      <c r="E15" s="7" t="n">
        <v>46183</v>
      </c>
      <c r="F15" s="8" t="n">
        <f aca="false">NETWORKDAYS(D15,E15)</f>
        <v>3</v>
      </c>
      <c r="G15" s="9" t="n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customFormat="false" ht="15" hidden="false" customHeight="false" outlineLevel="0" collapsed="false">
      <c r="A16" s="5" t="s">
        <v>27</v>
      </c>
      <c r="B16" s="6" t="s">
        <v>28</v>
      </c>
      <c r="C16" s="5" t="s">
        <v>29</v>
      </c>
      <c r="D16" s="7" t="n">
        <v>46160</v>
      </c>
      <c r="E16" s="7" t="n">
        <v>46185</v>
      </c>
      <c r="F16" s="8" t="n">
        <f aca="false">NETWORKDAYS(D16,E16)</f>
        <v>20</v>
      </c>
      <c r="G16" s="9" t="n">
        <v>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customFormat="false" ht="15" hidden="false" customHeight="false" outlineLevel="0" collapsed="false">
      <c r="A17" s="5" t="s">
        <v>30</v>
      </c>
      <c r="B17" s="6" t="s">
        <v>31</v>
      </c>
      <c r="C17" s="5" t="s">
        <v>14</v>
      </c>
      <c r="D17" s="7" t="n">
        <v>46183</v>
      </c>
      <c r="E17" s="7" t="n">
        <v>46184</v>
      </c>
      <c r="F17" s="8" t="n">
        <f aca="false">NETWORKDAYS(D17,E17)</f>
        <v>2</v>
      </c>
      <c r="G17" s="9" t="n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customFormat="false" ht="15" hidden="false" customHeight="false" outlineLevel="0" collapsed="false">
      <c r="A18" s="5" t="s">
        <v>30</v>
      </c>
      <c r="B18" s="6" t="s">
        <v>32</v>
      </c>
      <c r="C18" s="5" t="s">
        <v>11</v>
      </c>
      <c r="D18" s="7" t="n">
        <v>46182</v>
      </c>
      <c r="E18" s="7" t="n">
        <v>46186</v>
      </c>
      <c r="F18" s="8" t="n">
        <f aca="false">NETWORKDAYS(D18,E18)</f>
        <v>4</v>
      </c>
      <c r="G18" s="9" t="n">
        <v>0.8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customFormat="false" ht="15" hidden="false" customHeight="false" outlineLevel="0" collapsed="false">
      <c r="A19" s="5" t="s">
        <v>30</v>
      </c>
      <c r="B19" s="6" t="s">
        <v>33</v>
      </c>
      <c r="C19" s="5" t="s">
        <v>29</v>
      </c>
      <c r="D19" s="7" t="n">
        <v>46184</v>
      </c>
      <c r="E19" s="7" t="n">
        <v>46188</v>
      </c>
      <c r="F19" s="8" t="n">
        <f aca="false">NETWORKDAYS(D19,E19)</f>
        <v>3</v>
      </c>
      <c r="G19" s="9" t="n">
        <v>0.5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customFormat="false" ht="15" hidden="false" customHeight="false" outlineLevel="0" collapsed="false">
      <c r="A20" s="5" t="s">
        <v>30</v>
      </c>
      <c r="B20" s="6" t="s">
        <v>34</v>
      </c>
      <c r="C20" s="5" t="s">
        <v>29</v>
      </c>
      <c r="D20" s="7" t="n">
        <v>46188</v>
      </c>
      <c r="E20" s="7" t="n">
        <v>46189</v>
      </c>
      <c r="F20" s="8" t="n">
        <f aca="false">NETWORKDAYS(D20,E20)</f>
        <v>2</v>
      </c>
      <c r="G20" s="9" t="n">
        <v>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3" customFormat="false" ht="15" hidden="false" customHeight="false" outlineLevel="0" collapsed="false">
      <c r="B23" s="11" t="s">
        <v>35</v>
      </c>
    </row>
    <row r="24" customFormat="false" ht="23.85" hidden="false" customHeight="false" outlineLevel="0" collapsed="false">
      <c r="B24" s="3" t="s">
        <v>36</v>
      </c>
      <c r="C24" s="3" t="s">
        <v>37</v>
      </c>
      <c r="D24" s="3" t="s">
        <v>38</v>
      </c>
    </row>
    <row r="25" customFormat="false" ht="23.85" hidden="false" customHeight="false" outlineLevel="0" collapsed="false">
      <c r="B25" s="6" t="s">
        <v>39</v>
      </c>
      <c r="C25" s="7" t="n">
        <v>46164</v>
      </c>
      <c r="D25" s="6" t="s">
        <v>40</v>
      </c>
    </row>
    <row r="26" customFormat="false" ht="35.05" hidden="false" customHeight="false" outlineLevel="0" collapsed="false">
      <c r="B26" s="6" t="s">
        <v>41</v>
      </c>
      <c r="C26" s="7" t="n">
        <v>46170</v>
      </c>
      <c r="D26" s="6" t="s">
        <v>42</v>
      </c>
    </row>
    <row r="27" customFormat="false" ht="46.25" hidden="false" customHeight="false" outlineLevel="0" collapsed="false">
      <c r="B27" s="6" t="s">
        <v>43</v>
      </c>
      <c r="C27" s="7" t="n">
        <v>46177</v>
      </c>
      <c r="D27" s="6" t="s">
        <v>44</v>
      </c>
    </row>
    <row r="28" customFormat="false" ht="35.05" hidden="false" customHeight="false" outlineLevel="0" collapsed="false">
      <c r="B28" s="6" t="s">
        <v>45</v>
      </c>
      <c r="C28" s="7" t="n">
        <v>46183</v>
      </c>
      <c r="D28" s="6" t="s">
        <v>46</v>
      </c>
    </row>
    <row r="29" customFormat="false" ht="35.05" hidden="false" customHeight="false" outlineLevel="0" collapsed="false">
      <c r="B29" s="6" t="s">
        <v>47</v>
      </c>
      <c r="C29" s="7" t="n">
        <v>46189</v>
      </c>
      <c r="D29" s="6" t="s">
        <v>48</v>
      </c>
    </row>
  </sheetData>
  <mergeCells count="2">
    <mergeCell ref="A1:H1"/>
    <mergeCell ref="A2:H2"/>
  </mergeCells>
  <conditionalFormatting sqref="H5:AF20">
    <cfRule type="expression" priority="2" aboveAverage="0" equalAverage="0" bottom="0" percent="0" rank="0" text="" dxfId="0">
      <formula>AND(H$4&gt;=$D5,H$4&lt;=$E5)</formula>
    </cfRule>
  </conditionalFormatting>
  <conditionalFormatting sqref="G5:G20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{CDDEA24E-303E-4AEF-BA28-A380ECC01482}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DEA24E-303E-4AEF-BA28-A380ECC0148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G5:G20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"/>
  </cols>
  <sheetData>
    <row r="1" customFormat="false" ht="19.7" hidden="false" customHeight="fals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2" t="s">
        <v>50</v>
      </c>
      <c r="B2" s="2"/>
      <c r="C2" s="2"/>
      <c r="D2" s="2"/>
    </row>
    <row r="4" customFormat="false" ht="15" hidden="false" customHeight="false" outlineLevel="0" collapsed="false">
      <c r="A4" s="12" t="s">
        <v>51</v>
      </c>
      <c r="B4" s="12" t="s">
        <v>52</v>
      </c>
      <c r="C4" s="12" t="s">
        <v>53</v>
      </c>
      <c r="D4" s="12" t="s">
        <v>54</v>
      </c>
    </row>
    <row r="5" customFormat="false" ht="33.75" hidden="false" customHeight="true" outlineLevel="0" collapsed="false">
      <c r="A5" s="13" t="s">
        <v>55</v>
      </c>
      <c r="B5" s="14" t="s">
        <v>56</v>
      </c>
      <c r="C5" s="15" t="s">
        <v>57</v>
      </c>
      <c r="D5" s="16" t="s">
        <v>58</v>
      </c>
    </row>
    <row r="6" customFormat="false" ht="33.75" hidden="false" customHeight="true" outlineLevel="0" collapsed="false">
      <c r="A6" s="17"/>
      <c r="B6" s="14" t="s">
        <v>59</v>
      </c>
      <c r="C6" s="15" t="s">
        <v>60</v>
      </c>
      <c r="D6" s="16" t="s">
        <v>61</v>
      </c>
    </row>
    <row r="7" customFormat="false" ht="33.75" hidden="false" customHeight="true" outlineLevel="0" collapsed="false">
      <c r="A7" s="17"/>
      <c r="B7" s="17"/>
      <c r="C7" s="17"/>
      <c r="D7" s="16" t="s">
        <v>62</v>
      </c>
    </row>
    <row r="8" customFormat="false" ht="33.75" hidden="false" customHeight="true" outlineLevel="0" collapsed="false">
      <c r="A8" s="17"/>
      <c r="B8" s="17"/>
      <c r="C8" s="17"/>
      <c r="D8" s="16" t="s">
        <v>63</v>
      </c>
    </row>
    <row r="9" customFormat="false" ht="33.75" hidden="false" customHeight="true" outlineLevel="0" collapsed="false">
      <c r="A9" s="17"/>
      <c r="B9" s="17"/>
      <c r="C9" s="17"/>
      <c r="D9" s="16" t="s">
        <v>64</v>
      </c>
    </row>
    <row r="10" customFormat="false" ht="33.75" hidden="false" customHeight="true" outlineLevel="0" collapsed="false">
      <c r="A10" s="17"/>
      <c r="B10" s="17"/>
      <c r="C10" s="17"/>
      <c r="D10" s="16" t="s">
        <v>65</v>
      </c>
    </row>
    <row r="11" customFormat="false" ht="33.75" hidden="false" customHeight="true" outlineLevel="0" collapsed="false">
      <c r="A11" s="17"/>
      <c r="B11" s="17"/>
      <c r="C11" s="17"/>
      <c r="D11" s="16" t="s">
        <v>66</v>
      </c>
    </row>
    <row r="12" customFormat="false" ht="33.75" hidden="false" customHeight="true" outlineLevel="0" collapsed="false">
      <c r="A12" s="17"/>
      <c r="B12" s="17"/>
      <c r="C12" s="17"/>
      <c r="D12" s="16" t="s">
        <v>67</v>
      </c>
    </row>
    <row r="13" customFormat="false" ht="33.75" hidden="false" customHeight="true" outlineLevel="0" collapsed="false">
      <c r="A13" s="17"/>
      <c r="B13" s="17"/>
      <c r="C13" s="17"/>
      <c r="D13" s="16" t="s">
        <v>68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2026-06-15T13:04:03Z</dcterms:created>
  <dc:creator>openpyxl</dc:creator>
  <dc:description/>
  <dc:language>en-US</dc:language>
  <cp:lastModifiedBy/>
  <dcterms:modified xsi:type="dcterms:W3CDTF">2026-06-15T13:04:03Z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